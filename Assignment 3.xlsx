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Functions" sheetId="3" state="visible" r:id="rId3"/>
    <sheet xmlns:r="http://schemas.openxmlformats.org/officeDocument/2006/relationships" name="LookupDemo" sheetId="4" state="visible" r:id="rId4"/>
    <sheet xmlns:r="http://schemas.openxmlformats.org/officeDocument/2006/relationships" name="PivotSummary" sheetId="5" state="visible" r:id="rId5"/>
    <sheet xmlns:r="http://schemas.openxmlformats.org/officeDocument/2006/relationships" name="ReadMe" sheetId="6" state="visible" r:id="rId6"/>
  </sheets>
  <definedNames>
    <definedName name="_xlnm._FilterDatabase" localSheetId="0" hidden="1">'SalesData'!$A$1:$J$13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₹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  <fill>
      <patternFill patternType="solid">
        <fgColor rgb="00548235"/>
      </patternFill>
    </fill>
    <fill>
      <patternFill patternType="solid">
        <fgColor rgb="00C65911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Salary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'PivotSummary'!$A$2:$A$5</f>
            </numRef>
          </cat>
          <val>
            <numRef>
              <f>'PivotSummary'!$C$2:$C$5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Salary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able" displayName="SalesTable" ref="A1:J13" headerRowCount="1">
  <autoFilter ref="A1:J13"/>
  <tableColumns count="10">
    <tableColumn id="1" name="Order_ID"/>
    <tableColumn id="2" name="Order_Date"/>
    <tableColumn id="3" name="Employee_ID"/>
    <tableColumn id="4" name="Product"/>
    <tableColumn id="5" name="Units_Sold"/>
    <tableColumn id="6" name="Unit_Price"/>
    <tableColumn id="7" name="Payment_Method"/>
    <tableColumn id="8" name="Total_Sales"/>
    <tableColumn id="9" name="Discount"/>
    <tableColumn id="10" name="Profit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EmployeeTable" displayName="EmployeeTable" ref="A1:E11" headerRowCount="1">
  <autoFilter ref="A1:E11"/>
  <tableColumns count="5">
    <tableColumn id="1" name="Employee_ID"/>
    <tableColumn id="2" name="Employee_Name"/>
    <tableColumn id="3" name="Department"/>
    <tableColumn id="4" name="Salary"/>
    <tableColumn id="5" name="City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  <col width="15" customWidth="1" min="6" max="6"/>
    <col width="17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Employee_ID</t>
        </is>
      </c>
      <c r="D1" s="1" t="inlineStr">
        <is>
          <t>Product</t>
        </is>
      </c>
      <c r="E1" s="1" t="inlineStr">
        <is>
          <t>Units_Sold</t>
        </is>
      </c>
      <c r="F1" s="1" t="inlineStr">
        <is>
          <t>Unit_Price</t>
        </is>
      </c>
      <c r="G1" s="1" t="inlineStr">
        <is>
          <t>Payment_Method</t>
        </is>
      </c>
      <c r="H1" s="1" t="inlineStr">
        <is>
          <t>Total_Sales</t>
        </is>
      </c>
      <c r="I1" s="1" t="inlineStr">
        <is>
          <t>Discount</t>
        </is>
      </c>
      <c r="J1" s="1" t="inlineStr">
        <is>
          <t>Profit</t>
        </is>
      </c>
    </row>
    <row r="2">
      <c r="A2" t="n">
        <v>1001</v>
      </c>
      <c r="B2" s="2" t="inlineStr">
        <is>
          <t>2026-08-01</t>
        </is>
      </c>
      <c r="C2" t="n">
        <v>101</v>
      </c>
      <c r="D2" t="inlineStr">
        <is>
          <t>Laptop</t>
        </is>
      </c>
      <c r="E2" t="n">
        <v>1</v>
      </c>
      <c r="F2" s="3" t="n">
        <v>65000</v>
      </c>
      <c r="G2" t="inlineStr">
        <is>
          <t>Online</t>
        </is>
      </c>
      <c r="H2" s="3" t="n">
        <v>65000</v>
      </c>
      <c r="I2" s="3" t="n">
        <v>5000</v>
      </c>
      <c r="J2" s="3" t="n">
        <v>60000</v>
      </c>
    </row>
    <row r="3">
      <c r="A3" t="n">
        <v>1002</v>
      </c>
      <c r="B3" s="2" t="inlineStr">
        <is>
          <t>2026-08-02</t>
        </is>
      </c>
      <c r="C3" t="n">
        <v>104</v>
      </c>
      <c r="D3" t="inlineStr">
        <is>
          <t>Mouse</t>
        </is>
      </c>
      <c r="E3" t="n">
        <v>5</v>
      </c>
      <c r="F3" s="3" t="n">
        <v>800</v>
      </c>
      <c r="G3" t="inlineStr">
        <is>
          <t>Card</t>
        </is>
      </c>
      <c r="H3" s="3" t="n">
        <v>4000</v>
      </c>
      <c r="I3" s="3" t="n">
        <v>200</v>
      </c>
      <c r="J3" s="3" t="n">
        <v>3800</v>
      </c>
    </row>
    <row r="4">
      <c r="A4" t="n">
        <v>1003</v>
      </c>
      <c r="B4" s="2" t="inlineStr">
        <is>
          <t>2026-08-03</t>
        </is>
      </c>
      <c r="C4" t="n">
        <v>105</v>
      </c>
      <c r="D4" t="inlineStr">
        <is>
          <t>Keyboard</t>
        </is>
      </c>
      <c r="E4" t="n">
        <v>3</v>
      </c>
      <c r="F4" s="3" t="n">
        <v>1500</v>
      </c>
      <c r="G4" t="inlineStr">
        <is>
          <t>UPI</t>
        </is>
      </c>
      <c r="H4" s="3" t="n">
        <v>4500</v>
      </c>
      <c r="I4" s="3" t="n">
        <v>300</v>
      </c>
      <c r="J4" s="3" t="n">
        <v>4200</v>
      </c>
    </row>
    <row r="5">
      <c r="A5" t="n">
        <v>1004</v>
      </c>
      <c r="B5" s="2" t="inlineStr">
        <is>
          <t>2026-08-04</t>
        </is>
      </c>
      <c r="C5" t="n">
        <v>103</v>
      </c>
      <c r="D5" t="inlineStr">
        <is>
          <t>Monitor</t>
        </is>
      </c>
      <c r="E5" t="n">
        <v>2</v>
      </c>
      <c r="F5" s="3" t="n">
        <v>12000</v>
      </c>
      <c r="G5" t="inlineStr">
        <is>
          <t>Online</t>
        </is>
      </c>
      <c r="H5" s="3" t="n">
        <v>24000</v>
      </c>
      <c r="I5" s="3" t="n">
        <v>1500</v>
      </c>
      <c r="J5" s="3" t="n">
        <v>22500</v>
      </c>
    </row>
    <row r="6">
      <c r="A6" t="n">
        <v>1005</v>
      </c>
      <c r="B6" s="2" t="inlineStr">
        <is>
          <t>2026-08-05</t>
        </is>
      </c>
      <c r="C6" t="n">
        <v>109</v>
      </c>
      <c r="D6" t="inlineStr">
        <is>
          <t>Laptop</t>
        </is>
      </c>
      <c r="E6" t="n">
        <v>2</v>
      </c>
      <c r="F6" s="3" t="n">
        <v>65000</v>
      </c>
      <c r="G6" t="inlineStr">
        <is>
          <t>Card</t>
        </is>
      </c>
      <c r="H6" s="3" t="n">
        <v>130000</v>
      </c>
      <c r="I6" s="3" t="n">
        <v>10000</v>
      </c>
      <c r="J6" s="3" t="n">
        <v>120000</v>
      </c>
    </row>
    <row r="7">
      <c r="A7" t="n">
        <v>1006</v>
      </c>
      <c r="B7" s="2" t="inlineStr">
        <is>
          <t>2026-08-06</t>
        </is>
      </c>
      <c r="C7" t="n">
        <v>101</v>
      </c>
      <c r="D7" t="inlineStr">
        <is>
          <t>Keyboard</t>
        </is>
      </c>
      <c r="E7" t="n">
        <v>4</v>
      </c>
      <c r="F7" s="3" t="n">
        <v>1500</v>
      </c>
      <c r="G7" t="inlineStr">
        <is>
          <t>UPI</t>
        </is>
      </c>
      <c r="H7" s="3" t="n">
        <v>6000</v>
      </c>
      <c r="I7" s="3" t="n">
        <v>300</v>
      </c>
      <c r="J7" s="3" t="n">
        <v>5700</v>
      </c>
    </row>
    <row r="8">
      <c r="A8" t="n">
        <v>1007</v>
      </c>
      <c r="B8" s="2" t="inlineStr">
        <is>
          <t>2026-08-07</t>
        </is>
      </c>
      <c r="C8" t="n">
        <v>104</v>
      </c>
      <c r="D8" t="inlineStr">
        <is>
          <t>Monitor</t>
        </is>
      </c>
      <c r="E8" t="n">
        <v>1</v>
      </c>
      <c r="F8" s="3" t="n">
        <v>12000</v>
      </c>
      <c r="G8" t="inlineStr">
        <is>
          <t>Online</t>
        </is>
      </c>
      <c r="H8" s="3" t="n">
        <v>12000</v>
      </c>
      <c r="I8" s="3" t="n">
        <v>500</v>
      </c>
      <c r="J8" s="3" t="n">
        <v>11500</v>
      </c>
    </row>
    <row r="9">
      <c r="A9" t="n">
        <v>1008</v>
      </c>
      <c r="B9" s="2" t="inlineStr">
        <is>
          <t>2026-08-08</t>
        </is>
      </c>
      <c r="C9" t="n">
        <v>105</v>
      </c>
      <c r="D9" t="inlineStr">
        <is>
          <t>Mouse</t>
        </is>
      </c>
      <c r="E9" t="n">
        <v>10</v>
      </c>
      <c r="F9" s="3" t="n">
        <v>800</v>
      </c>
      <c r="G9" t="inlineStr">
        <is>
          <t>UPI</t>
        </is>
      </c>
      <c r="H9" s="3" t="n">
        <v>8000</v>
      </c>
      <c r="I9" s="3" t="n">
        <v>400</v>
      </c>
      <c r="J9" s="3" t="n">
        <v>7600</v>
      </c>
    </row>
    <row r="10">
      <c r="A10" t="n">
        <v>1009</v>
      </c>
      <c r="B10" s="2" t="inlineStr">
        <is>
          <t>2026-08-09</t>
        </is>
      </c>
      <c r="C10" t="n">
        <v>103</v>
      </c>
      <c r="D10" t="inlineStr">
        <is>
          <t>Laptop</t>
        </is>
      </c>
      <c r="E10" t="n">
        <v>1</v>
      </c>
      <c r="F10" s="3" t="n">
        <v>65000</v>
      </c>
      <c r="G10" t="inlineStr">
        <is>
          <t>Card</t>
        </is>
      </c>
      <c r="H10" s="3" t="n">
        <v>65000</v>
      </c>
      <c r="I10" s="3" t="n">
        <v>5000</v>
      </c>
      <c r="J10" s="3" t="n">
        <v>60000</v>
      </c>
    </row>
    <row r="11">
      <c r="A11" t="n">
        <v>1010</v>
      </c>
      <c r="B11" s="2" t="inlineStr">
        <is>
          <t>2026-08-10</t>
        </is>
      </c>
      <c r="C11" t="n">
        <v>109</v>
      </c>
      <c r="D11" t="inlineStr">
        <is>
          <t>Monitor</t>
        </is>
      </c>
      <c r="E11" t="n">
        <v>3</v>
      </c>
      <c r="F11" s="3" t="n">
        <v>12000</v>
      </c>
      <c r="G11" t="inlineStr">
        <is>
          <t>Online</t>
        </is>
      </c>
      <c r="H11" s="3" t="n">
        <v>36000</v>
      </c>
      <c r="I11" s="3" t="n">
        <v>2000</v>
      </c>
      <c r="J11" s="3" t="n">
        <v>34000</v>
      </c>
    </row>
    <row r="12">
      <c r="A12" t="n">
        <v>1011</v>
      </c>
      <c r="B12" s="2" t="inlineStr">
        <is>
          <t>2026-08-11</t>
        </is>
      </c>
      <c r="C12" t="n">
        <v>107</v>
      </c>
      <c r="D12" t="inlineStr">
        <is>
          <t>Keyboard</t>
        </is>
      </c>
      <c r="E12" t="n">
        <v>6</v>
      </c>
      <c r="F12" s="3" t="n">
        <v>1500</v>
      </c>
      <c r="G12" t="inlineStr">
        <is>
          <t>UPI</t>
        </is>
      </c>
      <c r="H12" s="3" t="n">
        <v>9000</v>
      </c>
      <c r="I12" s="3" t="n">
        <v>450</v>
      </c>
      <c r="J12" s="3" t="n">
        <v>8550</v>
      </c>
    </row>
    <row r="13">
      <c r="A13" t="n">
        <v>1012</v>
      </c>
      <c r="B13" s="2" t="inlineStr">
        <is>
          <t>2026-08-12</t>
        </is>
      </c>
      <c r="C13" t="n">
        <v>108</v>
      </c>
      <c r="D13" t="inlineStr">
        <is>
          <t>Mouse</t>
        </is>
      </c>
      <c r="E13" t="n">
        <v>8</v>
      </c>
      <c r="F13" s="3" t="n">
        <v>800</v>
      </c>
      <c r="G13" t="inlineStr">
        <is>
          <t>Card</t>
        </is>
      </c>
      <c r="H13" s="3" t="n">
        <v>6400</v>
      </c>
      <c r="I13" s="3" t="n">
        <v>300</v>
      </c>
      <c r="J13" s="3" t="n">
        <v>6100</v>
      </c>
    </row>
  </sheetData>
  <autoFilter ref="A1:J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City</t>
        </is>
      </c>
    </row>
    <row r="2">
      <c r="A2" t="n">
        <v>101</v>
      </c>
      <c r="B2" t="inlineStr">
        <is>
          <t>Aarav Sharma</t>
        </is>
      </c>
      <c r="C2" t="inlineStr">
        <is>
          <t>IT</t>
        </is>
      </c>
      <c r="D2" s="3" t="n">
        <v>55000</v>
      </c>
      <c r="E2" t="inlineStr">
        <is>
          <t>Delhi</t>
        </is>
      </c>
    </row>
    <row r="3">
      <c r="A3" t="n">
        <v>102</v>
      </c>
      <c r="B3" t="inlineStr">
        <is>
          <t>Diya Gupta</t>
        </is>
      </c>
      <c r="C3" t="inlineStr">
        <is>
          <t>HR</t>
        </is>
      </c>
      <c r="D3" s="3" t="n">
        <v>42000</v>
      </c>
      <c r="E3" t="inlineStr">
        <is>
          <t>Meerut</t>
        </is>
      </c>
    </row>
    <row r="4">
      <c r="A4" t="n">
        <v>103</v>
      </c>
      <c r="B4" t="inlineStr">
        <is>
          <t>Rohan Verma</t>
        </is>
      </c>
      <c r="C4" t="inlineStr">
        <is>
          <t>IT</t>
        </is>
      </c>
      <c r="D4" s="3" t="n">
        <v>68000</v>
      </c>
      <c r="E4" t="inlineStr">
        <is>
          <t>Noida</t>
        </is>
      </c>
    </row>
    <row r="5">
      <c r="A5" t="n">
        <v>104</v>
      </c>
      <c r="B5" t="inlineStr">
        <is>
          <t>Ananya Singh</t>
        </is>
      </c>
      <c r="C5" t="inlineStr">
        <is>
          <t>Sales</t>
        </is>
      </c>
      <c r="D5" s="3" t="n">
        <v>48000</v>
      </c>
      <c r="E5" t="inlineStr">
        <is>
          <t>Delhi</t>
        </is>
      </c>
    </row>
    <row r="6">
      <c r="A6" t="n">
        <v>105</v>
      </c>
      <c r="B6" t="inlineStr">
        <is>
          <t>Kabir Jain</t>
        </is>
      </c>
      <c r="C6" t="inlineStr">
        <is>
          <t>Sales</t>
        </is>
      </c>
      <c r="D6" s="3" t="n">
        <v>62000</v>
      </c>
      <c r="E6" t="inlineStr">
        <is>
          <t>Ghaziabad</t>
        </is>
      </c>
    </row>
    <row r="7">
      <c r="A7" t="n">
        <v>106</v>
      </c>
      <c r="B7" t="inlineStr">
        <is>
          <t>Meera Kapoor</t>
        </is>
      </c>
      <c r="C7" t="inlineStr">
        <is>
          <t>Finance</t>
        </is>
      </c>
      <c r="D7" s="3" t="n">
        <v>72000</v>
      </c>
      <c r="E7" t="inlineStr">
        <is>
          <t>Noida</t>
        </is>
      </c>
    </row>
    <row r="8">
      <c r="A8" t="n">
        <v>107</v>
      </c>
      <c r="B8" t="inlineStr">
        <is>
          <t>Arjun Mehta</t>
        </is>
      </c>
      <c r="C8" t="inlineStr">
        <is>
          <t>IT</t>
        </is>
      </c>
      <c r="D8" s="3" t="n">
        <v>59000</v>
      </c>
      <c r="E8" t="inlineStr">
        <is>
          <t>Meerut</t>
        </is>
      </c>
    </row>
    <row r="9">
      <c r="A9" t="n">
        <v>108</v>
      </c>
      <c r="B9" t="inlineStr">
        <is>
          <t>Isha Malhotra</t>
        </is>
      </c>
      <c r="C9" t="inlineStr">
        <is>
          <t>Finance</t>
        </is>
      </c>
      <c r="D9" s="3" t="n">
        <v>65000</v>
      </c>
      <c r="E9" t="inlineStr">
        <is>
          <t>Delhi</t>
        </is>
      </c>
    </row>
    <row r="10">
      <c r="A10" t="n">
        <v>109</v>
      </c>
      <c r="B10" t="inlineStr">
        <is>
          <t>Vivaan Bansal</t>
        </is>
      </c>
      <c r="C10" t="inlineStr">
        <is>
          <t>Sales</t>
        </is>
      </c>
      <c r="D10" s="3" t="n">
        <v>53000</v>
      </c>
      <c r="E10" t="inlineStr">
        <is>
          <t>Noida</t>
        </is>
      </c>
    </row>
    <row r="11">
      <c r="A11" t="n">
        <v>110</v>
      </c>
      <c r="B11" t="inlineStr">
        <is>
          <t>Sara Khan</t>
        </is>
      </c>
      <c r="C11" t="inlineStr">
        <is>
          <t>HR</t>
        </is>
      </c>
      <c r="D11" s="3" t="n">
        <v>45000</v>
      </c>
      <c r="E11" t="inlineStr">
        <is>
          <t>Meerut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30" customWidth="1" min="9" max="9"/>
    <col width="30" customWidth="1" min="10" max="10"/>
    <col width="30" customWidth="1" min="11" max="11"/>
  </cols>
  <sheetData>
    <row r="1">
      <c r="A1" s="4" t="inlineStr">
        <is>
          <t>Employee_ID</t>
        </is>
      </c>
      <c r="B1" s="4" t="inlineStr">
        <is>
          <t>Employee_Name</t>
        </is>
      </c>
      <c r="C1" s="4" t="inlineStr">
        <is>
          <t>Department</t>
        </is>
      </c>
      <c r="D1" s="4" t="inlineStr">
        <is>
          <t>Salary</t>
        </is>
      </c>
      <c r="E1" s="4" t="inlineStr">
        <is>
          <t>Salary_Status</t>
        </is>
      </c>
      <c r="F1" s="4" t="inlineStr">
        <is>
          <t>IT_Count</t>
        </is>
      </c>
      <c r="G1" s="4" t="inlineStr">
        <is>
          <t>IT_Total_Salary</t>
        </is>
      </c>
      <c r="I1" s="5" t="inlineStr">
        <is>
          <t>Function</t>
        </is>
      </c>
      <c r="J1" s="5" t="inlineStr">
        <is>
          <t>Example</t>
        </is>
      </c>
      <c r="K1" s="5" t="inlineStr">
        <is>
          <t>Purpose</t>
        </is>
      </c>
    </row>
    <row r="2">
      <c r="A2">
        <f>Employees!A2</f>
        <v/>
      </c>
      <c r="B2">
        <f>Employees!B2</f>
        <v/>
      </c>
      <c r="C2">
        <f>Employees!C2</f>
        <v/>
      </c>
      <c r="D2" s="3">
        <f>Employees!D2</f>
        <v/>
      </c>
      <c r="E2">
        <f>IF(D2&gt;=60000,"High","Normal")</f>
        <v/>
      </c>
      <c r="F2">
        <f>COUNTIF(Employees!C$2:C$11,C2)</f>
        <v/>
      </c>
      <c r="G2" s="3">
        <f>SUMIF(Employees!C$2:C$11,C2,Employees!D$2:D$11)</f>
        <v/>
      </c>
      <c r="I2" t="inlineStr">
        <is>
          <t>IF()</t>
        </is>
      </c>
      <c r="J2">
        <f>IF(D2&gt;=60000,"High","Normal")</f>
        <v/>
      </c>
      <c r="K2" t="inlineStr">
        <is>
          <t>Returns one result when a condition is true and another when false.</t>
        </is>
      </c>
    </row>
    <row r="3">
      <c r="A3">
        <f>Employees!A3</f>
        <v/>
      </c>
      <c r="B3">
        <f>Employees!B3</f>
        <v/>
      </c>
      <c r="C3">
        <f>Employees!C3</f>
        <v/>
      </c>
      <c r="D3" s="3">
        <f>Employees!D3</f>
        <v/>
      </c>
      <c r="E3">
        <f>IF(D3&gt;=60000,"High","Normal")</f>
        <v/>
      </c>
      <c r="F3">
        <f>COUNTIF(Employees!C$2:C$11,C3)</f>
        <v/>
      </c>
      <c r="G3" s="3">
        <f>SUMIF(Employees!C$2:C$11,C3,Employees!D$2:D$11)</f>
        <v/>
      </c>
      <c r="I3" t="inlineStr">
        <is>
          <t>COUNTIF()</t>
        </is>
      </c>
      <c r="J3">
        <f>COUNTIF(Employees!C$2:C$11,"IT")</f>
        <v/>
      </c>
      <c r="K3" t="inlineStr">
        <is>
          <t>Counts cells meeting a condition.</t>
        </is>
      </c>
    </row>
    <row r="4">
      <c r="A4">
        <f>Employees!A4</f>
        <v/>
      </c>
      <c r="B4">
        <f>Employees!B4</f>
        <v/>
      </c>
      <c r="C4">
        <f>Employees!C4</f>
        <v/>
      </c>
      <c r="D4" s="3">
        <f>Employees!D4</f>
        <v/>
      </c>
      <c r="E4">
        <f>IF(D4&gt;=60000,"High","Normal")</f>
        <v/>
      </c>
      <c r="F4">
        <f>COUNTIF(Employees!C$2:C$11,C4)</f>
        <v/>
      </c>
      <c r="G4" s="3">
        <f>SUMIF(Employees!C$2:C$11,C4,Employees!D$2:D$11)</f>
        <v/>
      </c>
      <c r="I4" t="inlineStr">
        <is>
          <t>SUMIF()</t>
        </is>
      </c>
      <c r="J4">
        <f>SUMIF(Employees!C$2:C$11,"IT",Employees!D$2:D$11)</f>
        <v/>
      </c>
      <c r="K4" t="inlineStr">
        <is>
          <t>Adds values that meet a condition.</t>
        </is>
      </c>
    </row>
    <row r="5">
      <c r="A5">
        <f>Employees!A5</f>
        <v/>
      </c>
      <c r="B5">
        <f>Employees!B5</f>
        <v/>
      </c>
      <c r="C5">
        <f>Employees!C5</f>
        <v/>
      </c>
      <c r="D5" s="3">
        <f>Employees!D5</f>
        <v/>
      </c>
      <c r="E5">
        <f>IF(D5&gt;=60000,"High","Normal")</f>
        <v/>
      </c>
      <c r="F5">
        <f>COUNTIF(Employees!C$2:C$11,C5)</f>
        <v/>
      </c>
      <c r="G5" s="3">
        <f>SUMIF(Employees!C$2:C$11,C5,Employees!D$2:D$11)</f>
        <v/>
      </c>
    </row>
    <row r="6">
      <c r="A6">
        <f>Employees!A6</f>
        <v/>
      </c>
      <c r="B6">
        <f>Employees!B6</f>
        <v/>
      </c>
      <c r="C6">
        <f>Employees!C6</f>
        <v/>
      </c>
      <c r="D6" s="3">
        <f>Employees!D6</f>
        <v/>
      </c>
      <c r="E6">
        <f>IF(D6&gt;=60000,"High","Normal")</f>
        <v/>
      </c>
      <c r="F6">
        <f>COUNTIF(Employees!C$2:C$11,C6)</f>
        <v/>
      </c>
      <c r="G6" s="3">
        <f>SUMIF(Employees!C$2:C$11,C6,Employees!D$2:D$11)</f>
        <v/>
      </c>
    </row>
    <row r="7">
      <c r="A7">
        <f>Employees!A7</f>
        <v/>
      </c>
      <c r="B7">
        <f>Employees!B7</f>
        <v/>
      </c>
      <c r="C7">
        <f>Employees!C7</f>
        <v/>
      </c>
      <c r="D7" s="3">
        <f>Employees!D7</f>
        <v/>
      </c>
      <c r="E7">
        <f>IF(D7&gt;=60000,"High","Normal")</f>
        <v/>
      </c>
      <c r="F7">
        <f>COUNTIF(Employees!C$2:C$11,C7)</f>
        <v/>
      </c>
      <c r="G7" s="3">
        <f>SUMIF(Employees!C$2:C$11,C7,Employees!D$2:D$11)</f>
        <v/>
      </c>
    </row>
    <row r="8">
      <c r="A8">
        <f>Employees!A8</f>
        <v/>
      </c>
      <c r="B8">
        <f>Employees!B8</f>
        <v/>
      </c>
      <c r="C8">
        <f>Employees!C8</f>
        <v/>
      </c>
      <c r="D8" s="3">
        <f>Employees!D8</f>
        <v/>
      </c>
      <c r="E8">
        <f>IF(D8&gt;=60000,"High","Normal")</f>
        <v/>
      </c>
      <c r="F8">
        <f>COUNTIF(Employees!C$2:C$11,C8)</f>
        <v/>
      </c>
      <c r="G8" s="3">
        <f>SUMIF(Employees!C$2:C$11,C8,Employees!D$2:D$11)</f>
        <v/>
      </c>
    </row>
    <row r="9">
      <c r="A9">
        <f>Employees!A9</f>
        <v/>
      </c>
      <c r="B9">
        <f>Employees!B9</f>
        <v/>
      </c>
      <c r="C9">
        <f>Employees!C9</f>
        <v/>
      </c>
      <c r="D9" s="3">
        <f>Employees!D9</f>
        <v/>
      </c>
      <c r="E9">
        <f>IF(D9&gt;=60000,"High","Normal")</f>
        <v/>
      </c>
      <c r="F9">
        <f>COUNTIF(Employees!C$2:C$11,C9)</f>
        <v/>
      </c>
      <c r="G9" s="3">
        <f>SUMIF(Employees!C$2:C$11,C9,Employees!D$2:D$11)</f>
        <v/>
      </c>
    </row>
    <row r="10">
      <c r="A10">
        <f>Employees!A10</f>
        <v/>
      </c>
      <c r="B10">
        <f>Employees!B10</f>
        <v/>
      </c>
      <c r="C10">
        <f>Employees!C10</f>
        <v/>
      </c>
      <c r="D10" s="3">
        <f>Employees!D10</f>
        <v/>
      </c>
      <c r="E10">
        <f>IF(D10&gt;=60000,"High","Normal")</f>
        <v/>
      </c>
      <c r="F10">
        <f>COUNTIF(Employees!C$2:C$11,C10)</f>
        <v/>
      </c>
      <c r="G10" s="3">
        <f>SUMIF(Employees!C$2:C$11,C10,Employees!D$2:D$11)</f>
        <v/>
      </c>
    </row>
    <row r="11">
      <c r="A11">
        <f>Employees!A11</f>
        <v/>
      </c>
      <c r="B11">
        <f>Employees!B11</f>
        <v/>
      </c>
      <c r="C11">
        <f>Employees!C11</f>
        <v/>
      </c>
      <c r="D11" s="3">
        <f>Employees!D11</f>
        <v/>
      </c>
      <c r="E11">
        <f>IF(D11&gt;=60000,"High","Normal")</f>
        <v/>
      </c>
      <c r="F11">
        <f>COUNTIF(Employees!C$2:C$11,C11)</f>
        <v/>
      </c>
      <c r="G11" s="3">
        <f>SUMIF(Employees!C$2:C$11,C11,Employees!D$2:D$11)</f>
        <v/>
      </c>
    </row>
  </sheetData>
  <conditionalFormatting sqref="D2:D11">
    <cfRule type="cellIs" priority="1" operator="greaterThanOrEqual" dxfId="0">
      <formula>60000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s="6" t="inlineStr">
        <is>
          <t>Employee_ID</t>
        </is>
      </c>
      <c r="B1" s="6" t="inlineStr">
        <is>
          <t>Employee_Name</t>
        </is>
      </c>
      <c r="C1" s="6" t="inlineStr">
        <is>
          <t>Department</t>
        </is>
      </c>
      <c r="D1" s="6" t="inlineStr">
        <is>
          <t>Salary</t>
        </is>
      </c>
      <c r="E1" s="6" t="inlineStr">
        <is>
          <t>VLOOKUP_Salary</t>
        </is>
      </c>
      <c r="F1" s="6" t="inlineStr">
        <is>
          <t>XLOOKUP_Department</t>
        </is>
      </c>
    </row>
    <row r="2">
      <c r="A2" t="n">
        <v>101</v>
      </c>
      <c r="B2">
        <f>VLOOKUP(A2,Employees!A:E,2,FALSE)</f>
        <v/>
      </c>
      <c r="C2">
        <f>VLOOKUP(A2,Employees!A:E,3,FALSE)</f>
        <v/>
      </c>
      <c r="D2">
        <f>VLOOKUP(A2,Employees!A:E,4,FALSE)</f>
        <v/>
      </c>
      <c r="E2">
        <f>VLOOKUP(A2,Employees!A:E,4,FALSE)</f>
        <v/>
      </c>
      <c r="F2">
        <f>XLOOKUP(A2,Employees!A:A,Employees!C:C,"Not Found")</f>
        <v/>
      </c>
    </row>
    <row r="3">
      <c r="A3" t="n">
        <v>103</v>
      </c>
      <c r="B3">
        <f>VLOOKUP(A3,Employees!A:E,2,FALSE)</f>
        <v/>
      </c>
      <c r="C3">
        <f>VLOOKUP(A3,Employees!A:E,3,FALSE)</f>
        <v/>
      </c>
      <c r="D3">
        <f>VLOOKUP(A3,Employees!A:E,4,FALSE)</f>
        <v/>
      </c>
      <c r="E3">
        <f>VLOOKUP(A3,Employees!A:E,4,FALSE)</f>
        <v/>
      </c>
      <c r="F3">
        <f>XLOOKUP(A3,Employees!A:A,Employees!C:C,"Not Found")</f>
        <v/>
      </c>
    </row>
    <row r="4">
      <c r="A4" t="n">
        <v>105</v>
      </c>
      <c r="B4">
        <f>VLOOKUP(A4,Employees!A:E,2,FALSE)</f>
        <v/>
      </c>
      <c r="C4">
        <f>VLOOKUP(A4,Employees!A:E,3,FALSE)</f>
        <v/>
      </c>
      <c r="D4">
        <f>VLOOKUP(A4,Employees!A:E,4,FALSE)</f>
        <v/>
      </c>
      <c r="E4">
        <f>VLOOKUP(A4,Employees!A:E,4,FALSE)</f>
        <v/>
      </c>
      <c r="F4">
        <f>XLOOKUP(A4,Employees!A:A,Employees!C:C,"Not Found")</f>
        <v/>
      </c>
    </row>
    <row r="5">
      <c r="A5" t="n">
        <v>108</v>
      </c>
      <c r="B5">
        <f>VLOOKUP(A5,Employees!A:E,2,FALSE)</f>
        <v/>
      </c>
      <c r="C5">
        <f>VLOOKUP(A5,Employees!A:E,3,FALSE)</f>
        <v/>
      </c>
      <c r="D5">
        <f>VLOOKUP(A5,Employees!A:E,4,FALSE)</f>
        <v/>
      </c>
      <c r="E5">
        <f>VLOOKUP(A5,Employees!A:E,4,FALSE)</f>
        <v/>
      </c>
      <c r="F5">
        <f>XLOOKUP(A5,Employees!A:A,Employees!C:C,"Not Found")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7" t="inlineStr">
        <is>
          <t>Department</t>
        </is>
      </c>
      <c r="B1" s="7" t="inlineStr">
        <is>
          <t>Employees</t>
        </is>
      </c>
      <c r="C1" s="7" t="inlineStr">
        <is>
          <t>Total Salary</t>
        </is>
      </c>
      <c r="D1" s="7" t="inlineStr">
        <is>
          <t>Average Salary</t>
        </is>
      </c>
      <c r="F1" t="inlineStr">
        <is>
          <t>Chart: Total Salary by Department</t>
        </is>
      </c>
    </row>
    <row r="2">
      <c r="A2" t="inlineStr">
        <is>
          <t>IT</t>
        </is>
      </c>
      <c r="B2">
        <f>COUNTIF(Employees!C:C,A2)</f>
        <v/>
      </c>
      <c r="C2" s="3">
        <f>SUMIF(Employees!C:C,A2,Employees!D:D)</f>
        <v/>
      </c>
      <c r="D2" s="3">
        <f>AVERAGEIF(Employees!C:C,A2,Employees!D:D)</f>
        <v/>
      </c>
    </row>
    <row r="3">
      <c r="A3" t="inlineStr">
        <is>
          <t>HR</t>
        </is>
      </c>
      <c r="B3">
        <f>COUNTIF(Employees!C:C,A3)</f>
        <v/>
      </c>
      <c r="C3" s="3">
        <f>SUMIF(Employees!C:C,A3,Employees!D:D)</f>
        <v/>
      </c>
      <c r="D3" s="3">
        <f>AVERAGEIF(Employees!C:C,A3,Employees!D:D)</f>
        <v/>
      </c>
    </row>
    <row r="4">
      <c r="A4" t="inlineStr">
        <is>
          <t>Sales</t>
        </is>
      </c>
      <c r="B4">
        <f>COUNTIF(Employees!C:C,A4)</f>
        <v/>
      </c>
      <c r="C4" s="3">
        <f>SUMIF(Employees!C:C,A4,Employees!D:D)</f>
        <v/>
      </c>
      <c r="D4" s="3">
        <f>AVERAGEIF(Employees!C:C,A4,Employees!D:D)</f>
        <v/>
      </c>
    </row>
    <row r="5">
      <c r="A5" t="inlineStr">
        <is>
          <t>Finance</t>
        </is>
      </c>
      <c r="B5">
        <f>COUNTIF(Employees!C:C,A5)</f>
        <v/>
      </c>
      <c r="C5" s="3">
        <f>SUMIF(Employees!C:C,A5,Employees!D:D)</f>
        <v/>
      </c>
      <c r="D5" s="3">
        <f>AVERAGEIF(Employees!C:C,A5,Employees!D:D)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8" t="inlineStr">
        <is>
          <t>Assignment</t>
        </is>
      </c>
      <c r="B1" t="inlineStr">
        <is>
          <t>SQL &amp; Excel Data Analytics Assignment</t>
        </is>
      </c>
    </row>
    <row r="2">
      <c r="A2" s="8" t="inlineStr">
        <is>
          <t>Dataset</t>
        </is>
      </c>
      <c r="B2" t="inlineStr">
        <is>
          <t>Sales and Employee sample dataset created for practice.</t>
        </is>
      </c>
    </row>
    <row r="3">
      <c r="A3" s="8" t="inlineStr">
        <is>
          <t>SQL Dialect</t>
        </is>
      </c>
      <c r="B3" t="inlineStr">
        <is>
          <t>MySQL 8.0 syntax; RIGHT JOIN is included as required.</t>
        </is>
      </c>
    </row>
    <row r="4">
      <c r="A4" s="8" t="inlineStr">
        <is>
          <t>Excel Tasks</t>
        </is>
      </c>
      <c r="B4" t="inlineStr">
        <is>
          <t>Formatting, sorting/filtering, conditional formatting, IF/COUNTIF/SUMIF, VLOOKUP/XLOOKUP, pivot-style summary and chart.</t>
        </is>
      </c>
    </row>
    <row r="5">
      <c r="A5" s="8" t="inlineStr">
        <is>
          <t>Important</t>
        </is>
      </c>
      <c r="B5" t="inlineStr">
        <is>
          <t>Open the workbook in Microsoft Excel so formulas such as XLOOKUP calculate correctly.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2026-09-23T04:25:59Z</dcterms:created>
  <dcterms:modified xmlns:dcterms="http://purl.org/dc/terms/" xmlns:xsi="http://www.w3.org/2001/XMLSchema-instance" xsi:type="dcterms:W3CDTF">2026-09-23T04:25:59Z</dcterms:modified>
</cp:coreProperties>
</file>