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_Me" sheetId="1" state="visible" r:id="rId1"/>
    <sheet xmlns:r="http://schemas.openxmlformats.org/officeDocument/2006/relationships" name="Sales_Data" sheetId="2" state="visible" r:id="rId2"/>
    <sheet xmlns:r="http://schemas.openxmlformats.org/officeDocument/2006/relationships" name="Employees" sheetId="3" state="visible" r:id="rId3"/>
    <sheet xmlns:r="http://schemas.openxmlformats.org/officeDocument/2006/relationships" name="Products" sheetId="4" state="visible" r:id="rId4"/>
    <sheet xmlns:r="http://schemas.openxmlformats.org/officeDocument/2006/relationships" name="Excel_Functions" sheetId="5" state="visible" r:id="rId5"/>
    <sheet xmlns:r="http://schemas.openxmlformats.org/officeDocument/2006/relationships" name="Lookup" sheetId="6" state="visible" r:id="rId6"/>
    <sheet xmlns:r="http://schemas.openxmlformats.org/officeDocument/2006/relationships" name="Pivot_Summary" sheetId="7" state="visible" r:id="rId7"/>
  </sheets>
  <definedNames>
    <definedName name="_xlnm._FilterDatabase" localSheetId="1" hidden="1">'Sales_Data'!$A$1:$G$11</definedName>
    <definedName name="_xlnm._FilterDatabase" localSheetId="2" hidden="1">'Employees'!$A$1:$E$9</definedName>
    <definedName name="_xlnm._FilterDatabase" localSheetId="3" hidden="1">'Products'!$A$1:$D$7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4472C4"/>
      </patternFill>
    </fill>
    <fill>
      <patternFill patternType="solid">
        <fgColor rgb="0070AD47"/>
      </patternFill>
    </fill>
    <fill>
      <patternFill patternType="solid">
        <fgColor rgb="007030A0"/>
      </patternFill>
    </fill>
    <fill>
      <patternFill patternType="solid">
        <fgColor rgb="005B9BD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1" fillId="3" borderId="0" applyAlignment="1" pivotButton="0" quotePrefix="0" xfId="0">
      <alignment horizontal="center"/>
    </xf>
    <xf numFmtId="164" fontId="0" fillId="0" borderId="0" pivotButton="0" quotePrefix="0" xfId="0"/>
    <xf numFmtId="0" fontId="1" fillId="4" borderId="0" pivotButton="0" quotePrefix="0" xfId="0"/>
    <xf numFmtId="0" fontId="1" fillId="5" borderId="0" pivotButton="0" quotePrefix="0" xfId="0"/>
    <xf numFmtId="0" fontId="1" fillId="6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6EFCE"/>
        </patternFill>
      </fill>
    </dxf>
    <dxf>
      <fill>
        <patternFill patternType="solid">
          <fgColor rgb="00FFF2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Sales by Product Category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'Pivot_Summary'!B1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'Pivot_Summary'!$A$2:$A$3</f>
            </numRef>
          </cat>
          <val>
            <numRef>
              <f>'Pivot_Summary'!$B$2:$B$3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Category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Total Sales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SalesDataTable" displayName="SalesDataTable" ref="A1:G11" headerRowCount="1">
  <autoFilter ref="A1:G11"/>
  <tableColumns count="7">
    <tableColumn id="1" name="Sale_ID"/>
    <tableColumn id="2" name="Sale_Date"/>
    <tableColumn id="3" name="Employee_ID"/>
    <tableColumn id="4" name="Product_ID"/>
    <tableColumn id="5" name="Quantity"/>
    <tableColumn id="6" name="Total_Sales"/>
    <tableColumn id="7" name="Payment_Method"/>
  </tableColumns>
  <tableStyleInfo name="TableStyleMedium2" showRowStripes="1"/>
</table>
</file>

<file path=xl/tables/table2.xml><?xml version="1.0" encoding="utf-8"?>
<table xmlns="http://schemas.openxmlformats.org/spreadsheetml/2006/main" id="2" name="EmployeesTable" displayName="EmployeesTable" ref="A1:E9" headerRowCount="1">
  <autoFilter ref="A1:E9"/>
  <tableColumns count="5">
    <tableColumn id="1" name="Employee_ID"/>
    <tableColumn id="2" name="Employee_Name"/>
    <tableColumn id="3" name="City"/>
    <tableColumn id="4" name="Department"/>
    <tableColumn id="5" name="Salary"/>
  </tableColumns>
  <tableStyleInfo name="TableStyleMedium2" showRowStripes="1"/>
</table>
</file>

<file path=xl/tables/table3.xml><?xml version="1.0" encoding="utf-8"?>
<table xmlns="http://schemas.openxmlformats.org/spreadsheetml/2006/main" id="3" name="ProductsTable" displayName="ProductsTable" ref="A1:D7" headerRowCount="1">
  <autoFilter ref="A1:D7"/>
  <tableColumns count="4">
    <tableColumn id="1" name="Product_ID"/>
    <tableColumn id="2" name="Product_Name"/>
    <tableColumn id="3" name="Category"/>
    <tableColumn id="4" name="Price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SQL &amp; Excel Data Analytics Assignment</t>
        </is>
      </c>
      <c r="B1" s="1" t="inlineStr"/>
    </row>
    <row r="2">
      <c r="A2" t="inlineStr">
        <is>
          <t>Task 6</t>
        </is>
      </c>
      <c r="B2" t="inlineStr">
        <is>
          <t>Sales_Data: formatting, sorting and filtering</t>
        </is>
      </c>
    </row>
    <row r="3">
      <c r="A3" t="inlineStr">
        <is>
          <t>Task 7</t>
        </is>
      </c>
      <c r="B3" t="inlineStr">
        <is>
          <t>Excel_Functions: IF, COUNTIF, SUMIF and conditional formatting</t>
        </is>
      </c>
    </row>
    <row r="4">
      <c r="A4" t="inlineStr">
        <is>
          <t>Task 8</t>
        </is>
      </c>
      <c r="B4" t="inlineStr">
        <is>
          <t>Lookup: VLOOKUP and XLOOKUP</t>
        </is>
      </c>
    </row>
    <row r="5">
      <c r="A5" t="inlineStr">
        <is>
          <t>Task 9</t>
        </is>
      </c>
      <c r="B5" t="inlineStr">
        <is>
          <t>Pivot_Summary: category summary and chart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  <col width="12" customWidth="1" min="5" max="5"/>
    <col width="13" customWidth="1" min="6" max="6"/>
    <col width="16" customWidth="1" min="7" max="7"/>
  </cols>
  <sheetData>
    <row r="1">
      <c r="A1" s="2" t="inlineStr">
        <is>
          <t>Sale_ID</t>
        </is>
      </c>
      <c r="B1" s="2" t="inlineStr">
        <is>
          <t>Sale_Date</t>
        </is>
      </c>
      <c r="C1" s="2" t="inlineStr">
        <is>
          <t>Employee_ID</t>
        </is>
      </c>
      <c r="D1" s="2" t="inlineStr">
        <is>
          <t>Product_ID</t>
        </is>
      </c>
      <c r="E1" s="2" t="inlineStr">
        <is>
          <t>Quantity</t>
        </is>
      </c>
      <c r="F1" s="2" t="inlineStr">
        <is>
          <t>Total_Sales</t>
        </is>
      </c>
      <c r="G1" s="2" t="inlineStr">
        <is>
          <t>Payment_Method</t>
        </is>
      </c>
    </row>
    <row r="2">
      <c r="A2" t="n">
        <v>1001</v>
      </c>
      <c r="B2" t="inlineStr">
        <is>
          <t>2026-01-05</t>
        </is>
      </c>
      <c r="C2" t="n">
        <v>101</v>
      </c>
      <c r="D2" t="n">
        <v>201</v>
      </c>
      <c r="E2" t="n">
        <v>2</v>
      </c>
      <c r="F2" s="3" t="n">
        <v>130000</v>
      </c>
      <c r="G2" t="inlineStr">
        <is>
          <t>Online</t>
        </is>
      </c>
    </row>
    <row r="3">
      <c r="A3" t="n">
        <v>1002</v>
      </c>
      <c r="B3" t="inlineStr">
        <is>
          <t>2026-01-08</t>
        </is>
      </c>
      <c r="C3" t="n">
        <v>102</v>
      </c>
      <c r="D3" t="n">
        <v>202</v>
      </c>
      <c r="E3" t="n">
        <v>10</v>
      </c>
      <c r="F3" s="3" t="n">
        <v>8000</v>
      </c>
      <c r="G3" t="inlineStr">
        <is>
          <t>UPI</t>
        </is>
      </c>
    </row>
    <row r="4">
      <c r="A4" t="n">
        <v>1003</v>
      </c>
      <c r="B4" t="inlineStr">
        <is>
          <t>2026-01-15</t>
        </is>
      </c>
      <c r="C4" t="n">
        <v>107</v>
      </c>
      <c r="D4" t="n">
        <v>203</v>
      </c>
      <c r="E4" t="n">
        <v>5</v>
      </c>
      <c r="F4" s="3" t="n">
        <v>7500</v>
      </c>
      <c r="G4" t="inlineStr">
        <is>
          <t>Card</t>
        </is>
      </c>
    </row>
    <row r="5">
      <c r="A5" t="n">
        <v>1004</v>
      </c>
      <c r="B5" t="inlineStr">
        <is>
          <t>2026-02-02</t>
        </is>
      </c>
      <c r="C5" t="n">
        <v>103</v>
      </c>
      <c r="D5" t="n">
        <v>204</v>
      </c>
      <c r="E5" t="n">
        <v>3</v>
      </c>
      <c r="F5" s="3" t="n">
        <v>54000</v>
      </c>
      <c r="G5" t="inlineStr">
        <is>
          <t>Online</t>
        </is>
      </c>
    </row>
    <row r="6">
      <c r="A6" t="n">
        <v>1005</v>
      </c>
      <c r="B6" t="inlineStr">
        <is>
          <t>2026-02-10</t>
        </is>
      </c>
      <c r="C6" t="n">
        <v>105</v>
      </c>
      <c r="D6" t="n">
        <v>205</v>
      </c>
      <c r="E6" t="n">
        <v>8</v>
      </c>
      <c r="F6" s="3" t="n">
        <v>20000</v>
      </c>
      <c r="G6" t="inlineStr">
        <is>
          <t>UPI</t>
        </is>
      </c>
    </row>
    <row r="7">
      <c r="A7" t="n">
        <v>1006</v>
      </c>
      <c r="B7" t="inlineStr">
        <is>
          <t>2026-02-18</t>
        </is>
      </c>
      <c r="C7" t="n">
        <v>106</v>
      </c>
      <c r="D7" t="n">
        <v>206</v>
      </c>
      <c r="E7" t="n">
        <v>4</v>
      </c>
      <c r="F7" s="3" t="n">
        <v>48000</v>
      </c>
      <c r="G7" t="inlineStr">
        <is>
          <t>Card</t>
        </is>
      </c>
    </row>
    <row r="8">
      <c r="A8" t="n">
        <v>1007</v>
      </c>
      <c r="B8" t="inlineStr">
        <is>
          <t>2026-03-03</t>
        </is>
      </c>
      <c r="C8" t="n">
        <v>101</v>
      </c>
      <c r="D8" t="n">
        <v>201</v>
      </c>
      <c r="E8" t="n">
        <v>1</v>
      </c>
      <c r="F8" s="3" t="n">
        <v>65000</v>
      </c>
      <c r="G8" t="inlineStr">
        <is>
          <t>Card</t>
        </is>
      </c>
    </row>
    <row r="9">
      <c r="A9" t="n">
        <v>1008</v>
      </c>
      <c r="B9" t="inlineStr">
        <is>
          <t>2026-03-12</t>
        </is>
      </c>
      <c r="C9" t="n">
        <v>107</v>
      </c>
      <c r="D9" t="n">
        <v>204</v>
      </c>
      <c r="E9" t="n">
        <v>2</v>
      </c>
      <c r="F9" s="3" t="n">
        <v>36000</v>
      </c>
      <c r="G9" t="inlineStr">
        <is>
          <t>UPI</t>
        </is>
      </c>
    </row>
    <row r="10">
      <c r="A10" t="n">
        <v>1009</v>
      </c>
      <c r="B10" t="inlineStr">
        <is>
          <t>2026-03-20</t>
        </is>
      </c>
      <c r="C10" t="n">
        <v>102</v>
      </c>
      <c r="D10" t="n">
        <v>205</v>
      </c>
      <c r="E10" t="n">
        <v>6</v>
      </c>
      <c r="F10" s="3" t="n">
        <v>15000</v>
      </c>
      <c r="G10" t="inlineStr">
        <is>
          <t>Online</t>
        </is>
      </c>
    </row>
    <row r="11">
      <c r="A11" t="n">
        <v>1010</v>
      </c>
      <c r="B11" t="inlineStr">
        <is>
          <t>2026-04-01</t>
        </is>
      </c>
      <c r="C11" t="n">
        <v>105</v>
      </c>
      <c r="D11" t="n">
        <v>201</v>
      </c>
      <c r="E11" t="n">
        <v>3</v>
      </c>
      <c r="F11" s="3" t="n">
        <v>195000</v>
      </c>
      <c r="G11" t="inlineStr">
        <is>
          <t>Card</t>
        </is>
      </c>
    </row>
  </sheetData>
  <autoFilter ref="A1:G11"/>
  <conditionalFormatting sqref="F2:F11">
    <cfRule type="cellIs" priority="1" operator="greaterThan" dxfId="0">
      <formula>50000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12" customWidth="1" min="3" max="3"/>
    <col width="12" customWidth="1" min="4" max="4"/>
    <col width="12" customWidth="1" min="5" max="5"/>
  </cols>
  <sheetData>
    <row r="1">
      <c r="A1" s="2" t="inlineStr">
        <is>
          <t>Employee_ID</t>
        </is>
      </c>
      <c r="B1" s="2" t="inlineStr">
        <is>
          <t>Employee_Name</t>
        </is>
      </c>
      <c r="C1" s="2" t="inlineStr">
        <is>
          <t>City</t>
        </is>
      </c>
      <c r="D1" s="2" t="inlineStr">
        <is>
          <t>Department</t>
        </is>
      </c>
      <c r="E1" s="2" t="inlineStr">
        <is>
          <t>Salary</t>
        </is>
      </c>
    </row>
    <row r="2">
      <c r="A2" t="n">
        <v>101</v>
      </c>
      <c r="B2" t="inlineStr">
        <is>
          <t>Aarav Sharma</t>
        </is>
      </c>
      <c r="C2" t="inlineStr">
        <is>
          <t>Delhi</t>
        </is>
      </c>
      <c r="D2" t="inlineStr">
        <is>
          <t>Sales</t>
        </is>
      </c>
      <c r="E2" t="n">
        <v>45000</v>
      </c>
    </row>
    <row r="3">
      <c r="A3" t="n">
        <v>102</v>
      </c>
      <c r="B3" t="inlineStr">
        <is>
          <t>Priya Singh</t>
        </is>
      </c>
      <c r="C3" t="inlineStr">
        <is>
          <t>Noida</t>
        </is>
      </c>
      <c r="D3" t="inlineStr">
        <is>
          <t>Sales</t>
        </is>
      </c>
      <c r="E3" t="n">
        <v>52000</v>
      </c>
    </row>
    <row r="4">
      <c r="A4" t="n">
        <v>103</v>
      </c>
      <c r="B4" t="inlineStr">
        <is>
          <t>Rohan Verma</t>
        </is>
      </c>
      <c r="C4" t="inlineStr">
        <is>
          <t>Meerut</t>
        </is>
      </c>
      <c r="D4" t="inlineStr">
        <is>
          <t>IT</t>
        </is>
      </c>
      <c r="E4" t="n">
        <v>68000</v>
      </c>
    </row>
    <row r="5">
      <c r="A5" t="n">
        <v>104</v>
      </c>
      <c r="B5" t="inlineStr">
        <is>
          <t>Ananya Gupta</t>
        </is>
      </c>
      <c r="C5" t="inlineStr">
        <is>
          <t>Delhi</t>
        </is>
      </c>
      <c r="D5" t="inlineStr">
        <is>
          <t>HR</t>
        </is>
      </c>
      <c r="E5" t="n">
        <v>48000</v>
      </c>
    </row>
    <row r="6">
      <c r="A6" t="n">
        <v>105</v>
      </c>
      <c r="B6" t="inlineStr">
        <is>
          <t>Vikram Kumar</t>
        </is>
      </c>
      <c r="C6" t="inlineStr">
        <is>
          <t>Ghaziabad</t>
        </is>
      </c>
      <c r="D6" t="inlineStr">
        <is>
          <t>IT</t>
        </is>
      </c>
      <c r="E6" t="n">
        <v>72000</v>
      </c>
    </row>
    <row r="7">
      <c r="A7" t="n">
        <v>106</v>
      </c>
      <c r="B7" t="inlineStr">
        <is>
          <t>Neha Jain</t>
        </is>
      </c>
      <c r="C7" t="inlineStr">
        <is>
          <t>Noida</t>
        </is>
      </c>
      <c r="D7" t="inlineStr">
        <is>
          <t>Marketing</t>
        </is>
      </c>
      <c r="E7" t="n">
        <v>55000</v>
      </c>
    </row>
    <row r="8">
      <c r="A8" t="n">
        <v>107</v>
      </c>
      <c r="B8" t="inlineStr">
        <is>
          <t>Karan Tyagi</t>
        </is>
      </c>
      <c r="C8" t="inlineStr">
        <is>
          <t>Meerut</t>
        </is>
      </c>
      <c r="D8" t="inlineStr">
        <is>
          <t>Sales</t>
        </is>
      </c>
      <c r="E8" t="n">
        <v>61000</v>
      </c>
    </row>
    <row r="9">
      <c r="A9" t="n">
        <v>108</v>
      </c>
      <c r="B9" t="inlineStr">
        <is>
          <t>Simran Kaur</t>
        </is>
      </c>
      <c r="C9" t="inlineStr">
        <is>
          <t>Delhi</t>
        </is>
      </c>
      <c r="D9" t="inlineStr">
        <is>
          <t>Marketing</t>
        </is>
      </c>
      <c r="E9" t="n">
        <v>58000</v>
      </c>
    </row>
  </sheetData>
  <autoFilter ref="A1:E9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3" customWidth="1" min="3" max="3"/>
    <col width="12" customWidth="1" min="4" max="4"/>
  </cols>
  <sheetData>
    <row r="1">
      <c r="A1" s="2" t="inlineStr">
        <is>
          <t>Product_ID</t>
        </is>
      </c>
      <c r="B1" s="2" t="inlineStr">
        <is>
          <t>Product_Name</t>
        </is>
      </c>
      <c r="C1" s="2" t="inlineStr">
        <is>
          <t>Category</t>
        </is>
      </c>
      <c r="D1" s="2" t="inlineStr">
        <is>
          <t>Price</t>
        </is>
      </c>
    </row>
    <row r="2">
      <c r="A2" t="n">
        <v>201</v>
      </c>
      <c r="B2" t="inlineStr">
        <is>
          <t>Laptop</t>
        </is>
      </c>
      <c r="C2" t="inlineStr">
        <is>
          <t>Electronics</t>
        </is>
      </c>
      <c r="D2" t="n">
        <v>65000</v>
      </c>
    </row>
    <row r="3">
      <c r="A3" t="n">
        <v>202</v>
      </c>
      <c r="B3" t="inlineStr">
        <is>
          <t>Mouse</t>
        </is>
      </c>
      <c r="C3" t="inlineStr">
        <is>
          <t>Accessories</t>
        </is>
      </c>
      <c r="D3" t="n">
        <v>800</v>
      </c>
    </row>
    <row r="4">
      <c r="A4" t="n">
        <v>203</v>
      </c>
      <c r="B4" t="inlineStr">
        <is>
          <t>Keyboard</t>
        </is>
      </c>
      <c r="C4" t="inlineStr">
        <is>
          <t>Accessories</t>
        </is>
      </c>
      <c r="D4" t="n">
        <v>1500</v>
      </c>
    </row>
    <row r="5">
      <c r="A5" t="n">
        <v>204</v>
      </c>
      <c r="B5" t="inlineStr">
        <is>
          <t>Monitor</t>
        </is>
      </c>
      <c r="C5" t="inlineStr">
        <is>
          <t>Electronics</t>
        </is>
      </c>
      <c r="D5" t="n">
        <v>18000</v>
      </c>
    </row>
    <row r="6">
      <c r="A6" t="n">
        <v>205</v>
      </c>
      <c r="B6" t="inlineStr">
        <is>
          <t>Headphones</t>
        </is>
      </c>
      <c r="C6" t="inlineStr">
        <is>
          <t>Accessories</t>
        </is>
      </c>
      <c r="D6" t="n">
        <v>2500</v>
      </c>
    </row>
    <row r="7">
      <c r="A7" t="n">
        <v>206</v>
      </c>
      <c r="B7" t="inlineStr">
        <is>
          <t>Printer</t>
        </is>
      </c>
      <c r="C7" t="inlineStr">
        <is>
          <t>Electronics</t>
        </is>
      </c>
      <c r="D7" t="n">
        <v>12000</v>
      </c>
    </row>
  </sheetData>
  <autoFilter ref="A1:D7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Employee_ID</t>
        </is>
      </c>
      <c r="B1" s="4" t="inlineStr">
        <is>
          <t>Employee_Name</t>
        </is>
      </c>
      <c r="C1" s="4" t="inlineStr">
        <is>
          <t>Salary</t>
        </is>
      </c>
      <c r="D1" s="4" t="inlineStr">
        <is>
          <t>Performance</t>
        </is>
      </c>
      <c r="E1" s="4" t="inlineStr">
        <is>
          <t>Bonus_Eligible</t>
        </is>
      </c>
      <c r="G1" t="inlineStr">
        <is>
          <t>COUNTIF</t>
        </is>
      </c>
      <c r="H1">
        <f>COUNTIF(D2:D9,"High")</f>
        <v/>
      </c>
    </row>
    <row r="2">
      <c r="A2" t="n">
        <v>101</v>
      </c>
      <c r="B2" t="inlineStr">
        <is>
          <t>Aarav Sharma</t>
        </is>
      </c>
      <c r="C2" s="3" t="n">
        <v>45000</v>
      </c>
      <c r="D2">
        <f>IF(C2&gt;=55000,"High","Standard")</f>
        <v/>
      </c>
      <c r="E2">
        <f>IF(C2&gt;=60000,"Yes","No")</f>
        <v/>
      </c>
      <c r="G2" t="inlineStr">
        <is>
          <t>SUMIF</t>
        </is>
      </c>
      <c r="H2">
        <f>SUMIF(D2:D9,"High",C2:C9)</f>
        <v/>
      </c>
    </row>
    <row r="3">
      <c r="A3" t="n">
        <v>102</v>
      </c>
      <c r="B3" t="inlineStr">
        <is>
          <t>Priya Singh</t>
        </is>
      </c>
      <c r="C3" s="3" t="n">
        <v>52000</v>
      </c>
      <c r="D3">
        <f>IF(C3&gt;=55000,"High","Standard")</f>
        <v/>
      </c>
      <c r="E3">
        <f>IF(C3&gt;=60000,"Yes","No")</f>
        <v/>
      </c>
      <c r="G3" t="inlineStr">
        <is>
          <t>IF</t>
        </is>
      </c>
      <c r="H3">
        <f>IF(C2&gt;=55000,"High","Standard")</f>
        <v/>
      </c>
    </row>
    <row r="4">
      <c r="A4" t="n">
        <v>103</v>
      </c>
      <c r="B4" t="inlineStr">
        <is>
          <t>Rohan Verma</t>
        </is>
      </c>
      <c r="C4" s="3" t="n">
        <v>68000</v>
      </c>
      <c r="D4">
        <f>IF(C4&gt;=55000,"High","Standard")</f>
        <v/>
      </c>
      <c r="E4">
        <f>IF(C4&gt;=60000,"Yes","No")</f>
        <v/>
      </c>
    </row>
    <row r="5">
      <c r="A5" t="n">
        <v>104</v>
      </c>
      <c r="B5" t="inlineStr">
        <is>
          <t>Ananya Gupta</t>
        </is>
      </c>
      <c r="C5" s="3" t="n">
        <v>48000</v>
      </c>
      <c r="D5">
        <f>IF(C5&gt;=55000,"High","Standard")</f>
        <v/>
      </c>
      <c r="E5">
        <f>IF(C5&gt;=60000,"Yes","No")</f>
        <v/>
      </c>
    </row>
    <row r="6">
      <c r="A6" t="n">
        <v>105</v>
      </c>
      <c r="B6" t="inlineStr">
        <is>
          <t>Vikram Kumar</t>
        </is>
      </c>
      <c r="C6" s="3" t="n">
        <v>72000</v>
      </c>
      <c r="D6">
        <f>IF(C6&gt;=55000,"High","Standard")</f>
        <v/>
      </c>
      <c r="E6">
        <f>IF(C6&gt;=60000,"Yes","No")</f>
        <v/>
      </c>
    </row>
    <row r="7">
      <c r="A7" t="n">
        <v>106</v>
      </c>
      <c r="B7" t="inlineStr">
        <is>
          <t>Neha Jain</t>
        </is>
      </c>
      <c r="C7" s="3" t="n">
        <v>55000</v>
      </c>
      <c r="D7">
        <f>IF(C7&gt;=55000,"High","Standard")</f>
        <v/>
      </c>
      <c r="E7">
        <f>IF(C7&gt;=60000,"Yes","No")</f>
        <v/>
      </c>
    </row>
    <row r="8">
      <c r="A8" t="n">
        <v>107</v>
      </c>
      <c r="B8" t="inlineStr">
        <is>
          <t>Karan Tyagi</t>
        </is>
      </c>
      <c r="C8" s="3" t="n">
        <v>61000</v>
      </c>
      <c r="D8">
        <f>IF(C8&gt;=55000,"High","Standard")</f>
        <v/>
      </c>
      <c r="E8">
        <f>IF(C8&gt;=60000,"Yes","No")</f>
        <v/>
      </c>
    </row>
    <row r="9">
      <c r="A9" t="n">
        <v>108</v>
      </c>
      <c r="B9" t="inlineStr">
        <is>
          <t>Simran Kaur</t>
        </is>
      </c>
      <c r="C9" s="3" t="n">
        <v>58000</v>
      </c>
      <c r="D9">
        <f>IF(C9&gt;=55000,"High","Standard")</f>
        <v/>
      </c>
      <c r="E9">
        <f>IF(C9&gt;=60000,"Yes","No")</f>
        <v/>
      </c>
    </row>
  </sheetData>
  <conditionalFormatting sqref="C2:C9">
    <cfRule type="cellIs" priority="1" operator="greaterThanOrEqual" dxfId="1">
      <formula>60000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Product_ID</t>
        </is>
      </c>
      <c r="B1" s="5" t="inlineStr">
        <is>
          <t>VLOOKUP_Product</t>
        </is>
      </c>
      <c r="C1" s="5" t="inlineStr">
        <is>
          <t>VLOOKUP_Price</t>
        </is>
      </c>
      <c r="D1" s="5" t="inlineStr">
        <is>
          <t>XLOOKUP_Product</t>
        </is>
      </c>
      <c r="E1" s="5" t="inlineStr">
        <is>
          <t>XLOOKUP_Price</t>
        </is>
      </c>
    </row>
    <row r="2">
      <c r="A2" t="n">
        <v>201</v>
      </c>
      <c r="B2">
        <f>VLOOKUP(A2,Products!A:D,2,FALSE)</f>
        <v/>
      </c>
      <c r="C2">
        <f>VLOOKUP(A2,Products!A:D,4,FALSE)</f>
        <v/>
      </c>
      <c r="D2">
        <f>XLOOKUP(A2,Products!A:A,Products!B:B,"Not Found")</f>
        <v/>
      </c>
      <c r="E2">
        <f>XLOOKUP(A2,Products!A:A,Products!D:D,"Not Found")</f>
        <v/>
      </c>
    </row>
    <row r="3">
      <c r="A3" t="n">
        <v>202</v>
      </c>
      <c r="B3">
        <f>VLOOKUP(A3,Products!A:D,2,FALSE)</f>
        <v/>
      </c>
      <c r="C3">
        <f>VLOOKUP(A3,Products!A:D,4,FALSE)</f>
        <v/>
      </c>
      <c r="D3">
        <f>XLOOKUP(A3,Products!A:A,Products!B:B,"Not Found")</f>
        <v/>
      </c>
      <c r="E3">
        <f>XLOOKUP(A3,Products!A:A,Products!D:D,"Not Found")</f>
        <v/>
      </c>
    </row>
    <row r="4">
      <c r="A4" t="n">
        <v>203</v>
      </c>
      <c r="B4">
        <f>VLOOKUP(A4,Products!A:D,2,FALSE)</f>
        <v/>
      </c>
      <c r="C4">
        <f>VLOOKUP(A4,Products!A:D,4,FALSE)</f>
        <v/>
      </c>
      <c r="D4">
        <f>XLOOKUP(A4,Products!A:A,Products!B:B,"Not Found")</f>
        <v/>
      </c>
      <c r="E4">
        <f>XLOOKUP(A4,Products!A:A,Products!D:D,"Not Found")</f>
        <v/>
      </c>
    </row>
    <row r="5">
      <c r="A5" t="n">
        <v>204</v>
      </c>
      <c r="B5">
        <f>VLOOKUP(A5,Products!A:D,2,FALSE)</f>
        <v/>
      </c>
      <c r="C5">
        <f>VLOOKUP(A5,Products!A:D,4,FALSE)</f>
        <v/>
      </c>
      <c r="D5">
        <f>XLOOKUP(A5,Products!A:A,Products!B:B,"Not Found")</f>
        <v/>
      </c>
      <c r="E5">
        <f>XLOOKUP(A5,Products!A:A,Products!D:D,"Not Found")</f>
        <v/>
      </c>
    </row>
    <row r="6">
      <c r="A6" t="n">
        <v>205</v>
      </c>
      <c r="B6">
        <f>VLOOKUP(A6,Products!A:D,2,FALSE)</f>
        <v/>
      </c>
      <c r="C6">
        <f>VLOOKUP(A6,Products!A:D,4,FALSE)</f>
        <v/>
      </c>
      <c r="D6">
        <f>XLOOKUP(A6,Products!A:A,Products!B:B,"Not Found")</f>
        <v/>
      </c>
      <c r="E6">
        <f>XLOOKUP(A6,Products!A:A,Products!D:D,"Not Found")</f>
        <v/>
      </c>
    </row>
    <row r="7">
      <c r="A7" t="n">
        <v>206</v>
      </c>
      <c r="B7">
        <f>VLOOKUP(A7,Products!A:D,2,FALSE)</f>
        <v/>
      </c>
      <c r="C7">
        <f>VLOOKUP(A7,Products!A:D,4,FALSE)</f>
        <v/>
      </c>
      <c r="D7">
        <f>XLOOKUP(A7,Products!A:A,Products!B:B,"Not Found")</f>
        <v/>
      </c>
      <c r="E7">
        <f>XLOOKUP(A7,Products!A:A,Products!D:D,"Not Found")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Category</t>
        </is>
      </c>
      <c r="B1" s="6" t="inlineStr">
        <is>
          <t>Total Sales</t>
        </is>
      </c>
      <c r="C1" s="6" t="inlineStr">
        <is>
          <t>Units Sold</t>
        </is>
      </c>
    </row>
    <row r="2">
      <c r="A2" t="inlineStr">
        <is>
          <t>Accessories</t>
        </is>
      </c>
      <c r="B2" t="n">
        <v>50500</v>
      </c>
      <c r="C2" t="n">
        <v>29</v>
      </c>
    </row>
    <row r="3">
      <c r="A3" t="inlineStr">
        <is>
          <t>Electronics</t>
        </is>
      </c>
      <c r="B3" t="n">
        <v>528000</v>
      </c>
      <c r="C3" t="n">
        <v>15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2026-08-30T13:36:20Z</dcterms:created>
  <dcterms:modified xmlns:dcterms="http://purl.org/dc/terms/" xmlns:xsi="http://www.w3.org/2001/XMLSchema-instance" xsi:type="dcterms:W3CDTF">2026-08-30T13:36:20Z</dcterms:modified>
</cp:coreProperties>
</file>